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8_{2FE5E81F-A6D7-43EA-A504-788D528962C1}" xr6:coauthVersionLast="47" xr6:coauthVersionMax="47" xr10:uidLastSave="{00000000-0000-0000-0000-000000000000}"/>
  <bookViews>
    <workbookView xWindow="-108" yWindow="-108" windowWidth="23256" windowHeight="12456" activeTab="1" xr2:uid="{231873D3-AD73-4E28-8DFB-6D750FC95607}"/>
  </bookViews>
  <sheets>
    <sheet name="raw data" sheetId="1" r:id="rId1"/>
    <sheet name="dashboard" sheetId="2"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 i="1"/>
  <c r="K3" i="1"/>
  <c r="K4" i="1"/>
  <c r="K5" i="1"/>
  <c r="K6" i="1"/>
  <c r="K7" i="1"/>
  <c r="K8" i="1"/>
  <c r="K9" i="1"/>
  <c r="K10" i="1"/>
  <c r="K11" i="1"/>
  <c r="K12" i="1"/>
  <c r="K13" i="1"/>
  <c r="K14" i="1"/>
  <c r="K15" i="1"/>
  <c r="K16" i="1"/>
  <c r="K17" i="1"/>
  <c r="K18" i="1"/>
  <c r="K19" i="1"/>
  <c r="K20" i="1"/>
  <c r="K21" i="1"/>
  <c r="K2" i="1"/>
</calcChain>
</file>

<file path=xl/sharedStrings.xml><?xml version="1.0" encoding="utf-8"?>
<sst xmlns="http://schemas.openxmlformats.org/spreadsheetml/2006/main" count="96" uniqueCount="66">
  <si>
    <t>Region</t>
  </si>
  <si>
    <t>Delhi</t>
  </si>
  <si>
    <t>Mumbai</t>
  </si>
  <si>
    <t>Chennai</t>
  </si>
  <si>
    <t>Emp Code</t>
  </si>
  <si>
    <t>Sales Executive</t>
  </si>
  <si>
    <t>Day1</t>
  </si>
  <si>
    <t>Day2</t>
  </si>
  <si>
    <t>Day3</t>
  </si>
  <si>
    <t>Day4</t>
  </si>
  <si>
    <t>Day5</t>
  </si>
  <si>
    <t>Total Sales</t>
  </si>
  <si>
    <t>Target</t>
  </si>
  <si>
    <t>Mum-TCL001</t>
  </si>
  <si>
    <t>Raj Verma</t>
  </si>
  <si>
    <t>Mum-TCL002</t>
  </si>
  <si>
    <t>Tanuja Kale</t>
  </si>
  <si>
    <t>Mum-TCL003</t>
  </si>
  <si>
    <t>Arvind Sharma</t>
  </si>
  <si>
    <t>Nagpur</t>
  </si>
  <si>
    <t>Mum-TCL004</t>
  </si>
  <si>
    <t>Tahira Qureshi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</si>
  <si>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</si>
  <si>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</si>
  <si>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</si>
  <si>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</si>
  <si>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</si>
  <si>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</si>
  <si>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</si>
  <si>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</si>
  <si>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</si>
  <si>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</si>
  <si>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</si>
  <si>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</si>
  <si>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</si>
  <si>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</si>
  <si>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</si>
  <si>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</si>
  <si>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</si>
  <si>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</si>
  <si>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</si>
  <si>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</si>
  <si>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</si>
  <si>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</si>
  <si>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</si>
  <si>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</si>
  <si>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</si>
  <si>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</si>
  <si>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</si>
  <si>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</si>
  <si>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</si>
  <si>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</si>
  <si>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</si>
  <si>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</si>
  <si>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</si>
  <si>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</si>
  <si>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</si>
  <si>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</si>
  <si>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Target hit</t>
  </si>
  <si>
    <t>Target away</t>
  </si>
  <si>
    <t>Sum of Total Sales</t>
  </si>
  <si>
    <t>sales executive</t>
  </si>
  <si>
    <t xml:space="preserve">total sales </t>
  </si>
  <si>
    <t>Sum of Target hit</t>
  </si>
  <si>
    <t>Sum of Target away</t>
  </si>
  <si>
    <t>SALES EXCECUTIVE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</si>
</sst>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4" tint="0.79998168889431442"/>
        <bgColor indexed="64"/>
      </patternFill>
    </fill>
  </fills>
  <borders count="13">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000000"/>
      </top>
      <bottom style="medium">
        <color rgb="FF000000"/>
      </bottom>
      <diagonal/>
    </border>
    <border>
      <left style="medium">
        <color rgb="FFCCCCCC"/>
      </left>
      <right style="medium">
        <color rgb="FF000000"/>
      </right>
      <top/>
      <bottom style="medium">
        <color rgb="FF000000"/>
      </bottom>
      <diagonal/>
    </border>
    <border>
      <left style="medium">
        <color rgb="FFCCCCCC"/>
      </left>
      <right/>
      <top style="medium">
        <color rgb="FFCCCCCC"/>
      </top>
      <bottom style="medium">
        <color rgb="FF000000"/>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rgb="FF000000"/>
      </right>
      <top/>
      <bottom style="medium">
        <color indexed="64"/>
      </bottom>
      <diagonal/>
    </border>
    <border>
      <left style="medium">
        <color rgb="FFCCCCCC"/>
      </left>
      <right style="medium">
        <color indexed="64"/>
      </right>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22">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0" fontId="0" fillId="3" borderId="4" xfId="0" applyFill="1" applyBorder="1" applyAlignment="1">
      <alignment horizontal="center" wrapText="1"/>
    </xf>
    <xf numFmtId="10" fontId="0" fillId="0" borderId="0" xfId="0" applyNumberFormat="1"/>
    <xf numFmtId="10" fontId="2" fillId="3" borderId="4" xfId="0" applyNumberFormat="1" applyFont="1" applyFill="1" applyBorder="1" applyAlignment="1">
      <alignment horizontal="center" vertical="center" wrapText="1"/>
    </xf>
    <xf numFmtId="0" fontId="1" fillId="2" borderId="5" xfId="0" applyFont="1" applyFill="1" applyBorder="1" applyAlignment="1">
      <alignment horizontal="center" vertical="center" wrapText="1"/>
    </xf>
    <xf numFmtId="10" fontId="2" fillId="3" borderId="6" xfId="0" applyNumberFormat="1" applyFont="1" applyFill="1" applyBorder="1" applyAlignment="1">
      <alignment horizontal="center" vertical="center" wrapText="1"/>
    </xf>
    <xf numFmtId="0" fontId="2" fillId="3" borderId="7"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4" borderId="0" xfId="0" applyFill="1"/>
    <xf numFmtId="10" fontId="0" fillId="4" borderId="0" xfId="0" applyNumberFormat="1" applyFill="1"/>
    <xf numFmtId="0" fontId="1" fillId="2" borderId="9" xfId="0" applyFont="1" applyFill="1" applyBorder="1" applyAlignment="1">
      <alignment horizontal="center" vertical="center" wrapText="1"/>
    </xf>
    <xf numFmtId="10" fontId="2" fillId="3" borderId="10" xfId="0" applyNumberFormat="1" applyFont="1" applyFill="1" applyBorder="1" applyAlignment="1">
      <alignment horizontal="center" vertical="center" wrapText="1"/>
    </xf>
    <xf numFmtId="10" fontId="2" fillId="3" borderId="11" xfId="0" applyNumberFormat="1" applyFont="1" applyFill="1" applyBorder="1" applyAlignment="1">
      <alignment horizontal="center" vertical="center" wrapText="1"/>
    </xf>
    <xf numFmtId="10" fontId="2" fillId="3" borderId="12" xfId="0" applyNumberFormat="1" applyFont="1" applyFill="1" applyBorder="1" applyAlignment="1">
      <alignment horizontal="center" vertical="center" wrapText="1"/>
    </xf>
    <xf numFmtId="10" fontId="2" fillId="3" borderId="8" xfId="0" applyNumberFormat="1" applyFont="1" applyFill="1" applyBorder="1" applyAlignment="1">
      <alignment horizontal="center" vertical="center" wrapText="1"/>
    </xf>
    <xf numFmtId="0" fontId="0" fillId="0" borderId="0" xfId="0" applyNumberFormat="1"/>
  </cellXfs>
  <cellStyles count="1">
    <cellStyle name="Normal" xfId="0" builtinId="0"/>
  </cellStyles>
  <dxfs count="1">
    <dxf>
      <fill>
        <patternFill>
          <bgColor rgb="FFF3FDE7"/>
        </patternFill>
      </fill>
    </dxf>
  </dxfs>
  <tableStyles count="2" defaultTableStyle="TableStyleMedium2" defaultPivotStyle="PivotStyleLight16">
    <tableStyle name="Slicer Style 1" pivot="0" table="0" count="3" xr9:uid="{4D873DD1-9177-4FAA-8FBF-8C712C4A3B64}"/>
    <tableStyle name="Slicer Style 2" pivot="0" table="0" count="6" xr9:uid="{587F721D-D2F3-484E-87A3-D726528CB77D}">
      <tableStyleElement type="wholeTable" dxfId="0"/>
    </tableStyle>
  </tableStyles>
  <colors>
    <mruColors>
      <color rgb="FFF3FDE7"/>
      <color rgb="FFE68486"/>
    </mruColors>
  </colors>
  <extLst>
    <ext xmlns:x14="http://schemas.microsoft.com/office/spreadsheetml/2009/9/main" uri="{46F421CA-312F-682f-3DD2-61675219B42D}">
      <x14:dxfs count="8">
        <dxf>
          <fill>
            <patternFill>
              <bgColor theme="5" tint="0.59996337778862885"/>
            </patternFill>
          </fill>
        </dxf>
        <dxf>
          <fill>
            <patternFill>
              <bgColor rgb="FFE68486"/>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7" tint="0.39994506668294322"/>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selectedItemWithNoData" dxfId="5"/>
          </x14:slicerStyleElements>
        </x14:slicerStyle>
        <x14:slicerStyle name="Slicer Style 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dashboard!$F$4</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dashboard!$E$5:$E$7</c:f>
              <c:strCache>
                <c:ptCount val="3"/>
                <c:pt idx="0">
                  <c:v>Raj Verma</c:v>
                </c:pt>
                <c:pt idx="1">
                  <c:v>Sudama Kumar</c:v>
                </c:pt>
                <c:pt idx="2">
                  <c:v>Swarnlata Borse</c:v>
                </c:pt>
              </c:strCache>
            </c:strRef>
          </c:cat>
          <c:val>
            <c:numRef>
              <c:f>dashboard!$F$5:$F$7</c:f>
              <c:numCache>
                <c:formatCode>General</c:formatCode>
                <c:ptCount val="3"/>
                <c:pt idx="0">
                  <c:v>339</c:v>
                </c:pt>
                <c:pt idx="1">
                  <c:v>306</c:v>
                </c:pt>
                <c:pt idx="2">
                  <c:v>189</c:v>
                </c:pt>
              </c:numCache>
            </c:numRef>
          </c:val>
          <c:extLst>
            <c:ext xmlns:c16="http://schemas.microsoft.com/office/drawing/2014/chart" uri="{C3380CC4-5D6E-409C-BE32-E72D297353CC}">
              <c16:uniqueId val="{00000000-5949-45F2-BDC2-1CC51FB41100}"/>
            </c:ext>
          </c:extLst>
        </c:ser>
        <c:dLbls>
          <c:showLegendKey val="0"/>
          <c:showVal val="0"/>
          <c:showCatName val="0"/>
          <c:showSerName val="0"/>
          <c:showPercent val="0"/>
          <c:showBubbleSize val="0"/>
        </c:dLbls>
        <c:gapWidth val="182"/>
        <c:axId val="41235903"/>
        <c:axId val="41236383"/>
      </c:barChart>
      <c:catAx>
        <c:axId val="41235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6383"/>
        <c:crosses val="autoZero"/>
        <c:auto val="1"/>
        <c:lblAlgn val="ctr"/>
        <c:lblOffset val="100"/>
        <c:noMultiLvlLbl val="0"/>
      </c:catAx>
      <c:valAx>
        <c:axId val="412363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1235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dashboard!$J$4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FE-41B6-AABE-D4BBF57EC3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FE-41B6-AABE-D4BBF57EC3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FE-41B6-AABE-D4BBF57EC3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CFE-41B6-AABE-D4BBF57EC30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CFE-41B6-AABE-D4BBF57EC3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dashboard!$I$5:$I$9</c:f>
              <c:strCache>
                <c:ptCount val="5"/>
                <c:pt idx="0">
                  <c:v>Arvind Sharma</c:v>
                </c:pt>
                <c:pt idx="1">
                  <c:v>Raj Verma</c:v>
                </c:pt>
                <c:pt idx="2">
                  <c:v>Sunita Madnani</c:v>
                </c:pt>
                <c:pt idx="3">
                  <c:v>Surendra Kumar</c:v>
                </c:pt>
                <c:pt idx="4">
                  <c:v>Syed Saqib</c:v>
                </c:pt>
              </c:strCache>
            </c:strRef>
          </c:cat>
          <c:val>
            <c:numRef>
              <c:f>dashboard!$J$5:$J$9</c:f>
              <c:numCache>
                <c:formatCode>0.00%</c:formatCode>
                <c:ptCount val="5"/>
                <c:pt idx="0">
                  <c:v>0.75800000000000001</c:v>
                </c:pt>
                <c:pt idx="1">
                  <c:v>0.67800000000000005</c:v>
                </c:pt>
                <c:pt idx="2">
                  <c:v>0.66400000000000003</c:v>
                </c:pt>
                <c:pt idx="3">
                  <c:v>0.752</c:v>
                </c:pt>
                <c:pt idx="4">
                  <c:v>0.73799999999999999</c:v>
                </c:pt>
              </c:numCache>
            </c:numRef>
          </c:val>
          <c:extLst>
            <c:ext xmlns:c16="http://schemas.microsoft.com/office/drawing/2014/chart" uri="{C3380CC4-5D6E-409C-BE32-E72D297353CC}">
              <c16:uniqueId val="{00000000-8D18-4975-8F12-801C88093B3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DE-4AC8-BE5A-5CE30974C60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DE-4AC8-BE5A-5CE30974C60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8ED3-468C-B62E-2B95BFC786D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DE-4AC8-BE5A-5CE30974C60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DE-4AC8-BE5A-5CE30974C60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dashboard!$M$5:$M$9</c:f>
              <c:strCache>
                <c:ptCount val="5"/>
                <c:pt idx="0">
                  <c:v>Anuj Sharma</c:v>
                </c:pt>
                <c:pt idx="1">
                  <c:v>Sudhir Kumar</c:v>
                </c:pt>
                <c:pt idx="2">
                  <c:v>Surendranath Thakur</c:v>
                </c:pt>
                <c:pt idx="3">
                  <c:v>Sushma Khandelwal</c:v>
                </c:pt>
                <c:pt idx="4">
                  <c:v>Swarnlata Borse</c:v>
                </c:pt>
              </c:strCache>
            </c:strRef>
          </c:cat>
          <c:val>
            <c:numRef>
              <c:f>dashboard!$N$5:$N$9</c:f>
              <c:numCache>
                <c:formatCode>0.00%</c:formatCode>
                <c:ptCount val="5"/>
                <c:pt idx="0">
                  <c:v>0.57400000000000007</c:v>
                </c:pt>
                <c:pt idx="1">
                  <c:v>0.60199999999999998</c:v>
                </c:pt>
                <c:pt idx="2">
                  <c:v>0.56200000000000006</c:v>
                </c:pt>
                <c:pt idx="3">
                  <c:v>0.57400000000000007</c:v>
                </c:pt>
                <c:pt idx="4">
                  <c:v>0.622</c:v>
                </c:pt>
              </c:numCache>
            </c:numRef>
          </c:val>
          <c:extLst>
            <c:ext xmlns:c16="http://schemas.microsoft.com/office/drawing/2014/chart" uri="{C3380CC4-5D6E-409C-BE32-E72D297353CC}">
              <c16:uniqueId val="{00000000-8ED3-468C-B62E-2B95BFC786D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dashboard!$A$5:$A$7</c:f>
              <c:strCache>
                <c:ptCount val="3"/>
                <c:pt idx="0">
                  <c:v>Raj Verma</c:v>
                </c:pt>
                <c:pt idx="1">
                  <c:v>Sudama Kumar</c:v>
                </c:pt>
                <c:pt idx="2">
                  <c:v>Swarnlata Borse</c:v>
                </c:pt>
              </c:strCache>
            </c:strRef>
          </c:cat>
          <c:val>
            <c:numRef>
              <c:f>dashboard!$B$5:$B$7</c:f>
              <c:numCache>
                <c:formatCode>General</c:formatCode>
                <c:ptCount val="3"/>
                <c:pt idx="0">
                  <c:v>339</c:v>
                </c:pt>
                <c:pt idx="1">
                  <c:v>306</c:v>
                </c:pt>
                <c:pt idx="2">
                  <c:v>189</c:v>
                </c:pt>
              </c:numCache>
            </c:numRef>
          </c:val>
          <c:extLst>
            <c:ext xmlns:c16="http://schemas.microsoft.com/office/drawing/2014/chart" uri="{C3380CC4-5D6E-409C-BE32-E72D297353CC}">
              <c16:uniqueId val="{00000000-E97E-42FD-B0F0-E0FD78212CFA}"/>
            </c:ext>
          </c:extLst>
        </c:ser>
        <c:dLbls>
          <c:showLegendKey val="0"/>
          <c:showVal val="0"/>
          <c:showCatName val="0"/>
          <c:showSerName val="0"/>
          <c:showPercent val="0"/>
          <c:showBubbleSize val="0"/>
        </c:dLbls>
        <c:gapWidth val="182"/>
        <c:axId val="12590063"/>
        <c:axId val="12593423"/>
      </c:barChart>
      <c:catAx>
        <c:axId val="125900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3423"/>
        <c:crosses val="autoZero"/>
        <c:auto val="1"/>
        <c:lblAlgn val="ctr"/>
        <c:lblOffset val="100"/>
        <c:noMultiLvlLbl val="0"/>
      </c:catAx>
      <c:valAx>
        <c:axId val="125934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90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fmlaLink="$I$1" lockText="1" noThreeD="1"/>
</file>

<file path=xl/ctrlProps/ctrlProp4.xml><?xml version="1.0" encoding="utf-8"?>
<formControlPr xmlns="http://schemas.microsoft.com/office/spreadsheetml/2009/9/main" objectType="CheckBox"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0</xdr:colOff>
      <xdr:row>9</xdr:row>
      <xdr:rowOff>121920</xdr:rowOff>
    </xdr:from>
    <xdr:to>
      <xdr:col>6</xdr:col>
      <xdr:colOff>30480</xdr:colOff>
      <xdr:row>20</xdr:row>
      <xdr:rowOff>15240</xdr:rowOff>
    </xdr:to>
    <xdr:graphicFrame macro="">
      <xdr:nvGraphicFramePr>
        <xdr:cNvPr id="3" name="Chart 2">
          <a:extLst>
            <a:ext uri="{FF2B5EF4-FFF2-40B4-BE49-F238E27FC236}">
              <a16:creationId xmlns:a16="http://schemas.microsoft.com/office/drawing/2014/main" id="{659F4097-6C47-A2B0-7EA2-86D25BE906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99060</xdr:rowOff>
    </xdr:from>
    <xdr:to>
      <xdr:col>10</xdr:col>
      <xdr:colOff>38100</xdr:colOff>
      <xdr:row>20</xdr:row>
      <xdr:rowOff>68580</xdr:rowOff>
    </xdr:to>
    <xdr:graphicFrame macro="">
      <xdr:nvGraphicFramePr>
        <xdr:cNvPr id="4" name="Chart 3">
          <a:extLst>
            <a:ext uri="{FF2B5EF4-FFF2-40B4-BE49-F238E27FC236}">
              <a16:creationId xmlns:a16="http://schemas.microsoft.com/office/drawing/2014/main" id="{6DB6A9F9-F13C-3CE7-EAB8-2AA417763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9</xdr:row>
      <xdr:rowOff>83820</xdr:rowOff>
    </xdr:from>
    <xdr:to>
      <xdr:col>14</xdr:col>
      <xdr:colOff>15240</xdr:colOff>
      <xdr:row>20</xdr:row>
      <xdr:rowOff>91440</xdr:rowOff>
    </xdr:to>
    <xdr:graphicFrame macro="">
      <xdr:nvGraphicFramePr>
        <xdr:cNvPr id="5" name="Chart 4">
          <a:extLst>
            <a:ext uri="{FF2B5EF4-FFF2-40B4-BE49-F238E27FC236}">
              <a16:creationId xmlns:a16="http://schemas.microsoft.com/office/drawing/2014/main" id="{701D20FD-E97C-14DD-F882-1F4E88D30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68580</xdr:colOff>
      <xdr:row>0</xdr:row>
      <xdr:rowOff>60960</xdr:rowOff>
    </xdr:from>
    <xdr:to>
      <xdr:col>14</xdr:col>
      <xdr:colOff>53340</xdr:colOff>
      <xdr:row>1</xdr:row>
      <xdr:rowOff>175260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2293750-526E-9F4C-BB6E-90035905323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580" y="60960"/>
              <a:ext cx="12557760" cy="678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441960</xdr:colOff>
      <xdr:row>2</xdr:row>
      <xdr:rowOff>38100</xdr:rowOff>
    </xdr:from>
    <xdr:to>
      <xdr:col>1</xdr:col>
      <xdr:colOff>944880</xdr:colOff>
      <xdr:row>2</xdr:row>
      <xdr:rowOff>586740</xdr:rowOff>
    </xdr:to>
    <xdr:sp macro="" textlink="">
      <xdr:nvSpPr>
        <xdr:cNvPr id="7" name="Oval 6">
          <a:extLst>
            <a:ext uri="{FF2B5EF4-FFF2-40B4-BE49-F238E27FC236}">
              <a16:creationId xmlns:a16="http://schemas.microsoft.com/office/drawing/2014/main" id="{EF9F6FCE-A093-596E-49B0-257003A85206}"/>
            </a:ext>
          </a:extLst>
        </xdr:cNvPr>
        <xdr:cNvSpPr/>
      </xdr:nvSpPr>
      <xdr:spPr>
        <a:xfrm>
          <a:off x="441960" y="769620"/>
          <a:ext cx="1836420" cy="548640"/>
        </a:xfrm>
        <a:prstGeom prst="ellipse">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883920</xdr:colOff>
          <xdr:row>2</xdr:row>
          <xdr:rowOff>175260</xdr:rowOff>
        </xdr:from>
        <xdr:to>
          <xdr:col>1</xdr:col>
          <xdr:colOff>617220</xdr:colOff>
          <xdr:row>2</xdr:row>
          <xdr:rowOff>396240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495300</xdr:colOff>
      <xdr:row>2</xdr:row>
      <xdr:rowOff>7620</xdr:rowOff>
    </xdr:from>
    <xdr:to>
      <xdr:col>5</xdr:col>
      <xdr:colOff>777240</xdr:colOff>
      <xdr:row>2</xdr:row>
      <xdr:rowOff>556260</xdr:rowOff>
    </xdr:to>
    <xdr:sp macro="" textlink="">
      <xdr:nvSpPr>
        <xdr:cNvPr id="8" name="Oval 7">
          <a:extLst>
            <a:ext uri="{FF2B5EF4-FFF2-40B4-BE49-F238E27FC236}">
              <a16:creationId xmlns:a16="http://schemas.microsoft.com/office/drawing/2014/main" id="{118BE288-7B2A-4E69-A6FE-C41A6A41EBB8}"/>
            </a:ext>
          </a:extLst>
        </xdr:cNvPr>
        <xdr:cNvSpPr/>
      </xdr:nvSpPr>
      <xdr:spPr>
        <a:xfrm>
          <a:off x="3893820" y="739140"/>
          <a:ext cx="1714500" cy="548640"/>
        </a:xfrm>
        <a:prstGeom prst="ellipse">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845820</xdr:colOff>
          <xdr:row>2</xdr:row>
          <xdr:rowOff>160020</xdr:rowOff>
        </xdr:from>
        <xdr:to>
          <xdr:col>5</xdr:col>
          <xdr:colOff>480060</xdr:colOff>
          <xdr:row>2</xdr:row>
          <xdr:rowOff>381000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8</xdr:col>
      <xdr:colOff>449580</xdr:colOff>
      <xdr:row>2</xdr:row>
      <xdr:rowOff>15240</xdr:rowOff>
    </xdr:from>
    <xdr:to>
      <xdr:col>9</xdr:col>
      <xdr:colOff>1097280</xdr:colOff>
      <xdr:row>2</xdr:row>
      <xdr:rowOff>563880</xdr:rowOff>
    </xdr:to>
    <xdr:sp macro="" textlink="">
      <xdr:nvSpPr>
        <xdr:cNvPr id="9" name="Oval 8">
          <a:extLst>
            <a:ext uri="{FF2B5EF4-FFF2-40B4-BE49-F238E27FC236}">
              <a16:creationId xmlns:a16="http://schemas.microsoft.com/office/drawing/2014/main" id="{933D6597-0701-4294-9A85-122FD48C0F80}"/>
            </a:ext>
          </a:extLst>
        </xdr:cNvPr>
        <xdr:cNvSpPr/>
      </xdr:nvSpPr>
      <xdr:spPr>
        <a:xfrm>
          <a:off x="6972300" y="746760"/>
          <a:ext cx="1714500" cy="548640"/>
        </a:xfrm>
        <a:prstGeom prst="ellipse">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754380</xdr:colOff>
          <xdr:row>2</xdr:row>
          <xdr:rowOff>167640</xdr:rowOff>
        </xdr:from>
        <xdr:to>
          <xdr:col>9</xdr:col>
          <xdr:colOff>754380</xdr:colOff>
          <xdr:row>2</xdr:row>
          <xdr:rowOff>388620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12</xdr:col>
      <xdr:colOff>487680</xdr:colOff>
      <xdr:row>2</xdr:row>
      <xdr:rowOff>0</xdr:rowOff>
    </xdr:from>
    <xdr:to>
      <xdr:col>13</xdr:col>
      <xdr:colOff>960120</xdr:colOff>
      <xdr:row>2</xdr:row>
      <xdr:rowOff>548640</xdr:rowOff>
    </xdr:to>
    <xdr:sp macro="" textlink="">
      <xdr:nvSpPr>
        <xdr:cNvPr id="10" name="Oval 9">
          <a:extLst>
            <a:ext uri="{FF2B5EF4-FFF2-40B4-BE49-F238E27FC236}">
              <a16:creationId xmlns:a16="http://schemas.microsoft.com/office/drawing/2014/main" id="{DE73C8A1-2298-4934-BBA6-23CB496C3ABD}"/>
            </a:ext>
          </a:extLst>
        </xdr:cNvPr>
        <xdr:cNvSpPr/>
      </xdr:nvSpPr>
      <xdr:spPr>
        <a:xfrm>
          <a:off x="10248900" y="731520"/>
          <a:ext cx="1714500" cy="548640"/>
        </a:xfrm>
        <a:prstGeom prst="ellipse">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876300</xdr:colOff>
          <xdr:row>2</xdr:row>
          <xdr:rowOff>144780</xdr:rowOff>
        </xdr:from>
        <xdr:to>
          <xdr:col>13</xdr:col>
          <xdr:colOff>701040</xdr:colOff>
          <xdr:row>2</xdr:row>
          <xdr:rowOff>365760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9</xdr:row>
      <xdr:rowOff>129540</xdr:rowOff>
    </xdr:from>
    <xdr:to>
      <xdr:col>2</xdr:col>
      <xdr:colOff>38100</xdr:colOff>
      <xdr:row>20</xdr:row>
      <xdr:rowOff>45720</xdr:rowOff>
    </xdr:to>
    <xdr:graphicFrame macro="">
      <xdr:nvGraphicFramePr>
        <xdr:cNvPr id="12" name="Chart 11">
          <a:extLst>
            <a:ext uri="{FF2B5EF4-FFF2-40B4-BE49-F238E27FC236}">
              <a16:creationId xmlns:a16="http://schemas.microsoft.com/office/drawing/2014/main" id="{31C9380A-D4D7-6AF3-9F20-E16EFFCF9D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60.741099074075" createdVersion="8" refreshedVersion="8" minRefreshableVersion="3" recordCount="20" xr:uid="{C9D70DA2-5FE3-4602-A6EC-D32EEB6A3242}">
  <cacheSource type="worksheet">
    <worksheetSource ref="A1:L21" sheet="raw data"/>
  </cacheSource>
  <cacheFields count="12">
    <cacheField name="Emp Code" numFmtId="0">
      <sharedItems/>
    </cacheField>
    <cacheField name="Sales Executive" numFmtId="0">
      <sharedItems count="20">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379"/>
    </cacheField>
    <cacheField name="Target" numFmtId="0">
      <sharedItems containsSemiMixedTypes="0" containsString="0" containsNumber="1" containsInteger="1" minValue="500" maxValue="500"/>
    </cacheField>
    <cacheField name="Target hit" numFmtId="10">
      <sharedItems containsSemiMixedTypes="0" containsString="0" containsNumber="1" minValue="0.378" maxValue="0.75800000000000001"/>
    </cacheField>
    <cacheField name="Target away" numFmtId="10">
      <sharedItems containsSemiMixedTypes="0" containsString="0" containsNumber="1" minValue="0.24199999999999999" maxValue="0.622"/>
    </cacheField>
  </cacheFields>
  <extLst>
    <ext xmlns:x14="http://schemas.microsoft.com/office/spreadsheetml/2009/9/main" uri="{725AE2AE-9491-48be-B2B4-4EB974FC3084}">
      <x14:pivotCacheDefinition pivotCacheId="11466108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246F71-2B4E-4C3F-977E-9782DE53425E}"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CECUTIVE">
  <location ref="A4:B7" firstHeaderRow="1" firstDataRow="1" firstDataCol="1"/>
  <pivotFields count="12">
    <pivotField showAll="0"/>
    <pivotField axis="axisRow" showAll="0" measureFilter="1">
      <items count="21">
        <item x="4"/>
        <item x="2"/>
        <item x="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3">
    <i>
      <x v="2"/>
    </i>
    <i>
      <x v="6"/>
    </i>
    <i>
      <x v="14"/>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38B38E-08BD-47A8-81C6-6F85957B6957}"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M4:N9" firstHeaderRow="1" firstDataRow="1" firstDataCol="1"/>
  <pivotFields count="12">
    <pivotField showAll="0"/>
    <pivotField axis="axisRow" showAll="0" measureFilter="1">
      <items count="21">
        <item x="4"/>
        <item x="2"/>
        <item x="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i>
    <i>
      <x v="7"/>
    </i>
    <i>
      <x v="12"/>
    </i>
    <i>
      <x v="13"/>
    </i>
    <i>
      <x v="14"/>
    </i>
  </rowItems>
  <colItems count="1">
    <i/>
  </colItems>
  <dataFields count="1">
    <dataField name="Sum of Target away" fld="11"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7"/>
          </reference>
        </references>
      </pivotArea>
    </chartFormat>
    <chartFormat chart="0" format="3">
      <pivotArea type="data" outline="0" fieldPosition="0">
        <references count="2">
          <reference field="4294967294" count="1" selected="0">
            <x v="0"/>
          </reference>
          <reference field="1" count="1" selected="0">
            <x v="12"/>
          </reference>
        </references>
      </pivotArea>
    </chartFormat>
    <chartFormat chart="0" format="4">
      <pivotArea type="data" outline="0" fieldPosition="0">
        <references count="2">
          <reference field="4294967294" count="1" selected="0">
            <x v="0"/>
          </reference>
          <reference field="1" count="1" selected="0">
            <x v="13"/>
          </reference>
        </references>
      </pivotArea>
    </chartFormat>
    <chartFormat chart="0" format="5">
      <pivotArea type="data" outline="0" fieldPosition="0">
        <references count="2">
          <reference field="4294967294" count="1" selected="0">
            <x v="0"/>
          </reference>
          <reference field="1" count="1" selected="0">
            <x v="14"/>
          </reference>
        </references>
      </pivotArea>
    </chartFormat>
  </chartFormats>
  <pivotTableStyleInfo name="PivotStyleMedium1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F83A63-EC5C-4C93-8B00-1D4628641946}"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I4:J9" firstHeaderRow="1" firstDataRow="1" firstDataCol="1"/>
  <pivotFields count="12">
    <pivotField showAll="0"/>
    <pivotField axis="axisRow" showAll="0" measureFilter="1">
      <items count="21">
        <item x="4"/>
        <item x="2"/>
        <item x="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2"/>
    </i>
    <i>
      <x v="10"/>
    </i>
    <i>
      <x v="11"/>
    </i>
    <i>
      <x v="16"/>
    </i>
  </rowItems>
  <colItems count="1">
    <i/>
  </colItems>
  <dataFields count="1">
    <dataField name="Sum of Target hit"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10"/>
          </reference>
        </references>
      </pivotArea>
    </chartFormat>
    <chartFormat chart="0" format="4">
      <pivotArea type="data" outline="0" fieldPosition="0">
        <references count="2">
          <reference field="4294967294" count="1" selected="0">
            <x v="0"/>
          </reference>
          <reference field="1" count="1" selected="0">
            <x v="11"/>
          </reference>
        </references>
      </pivotArea>
    </chartFormat>
    <chartFormat chart="0" format="5">
      <pivotArea type="data" outline="0" fieldPosition="0">
        <references count="2">
          <reference field="4294967294" count="1" selected="0">
            <x v="0"/>
          </reference>
          <reference field="1" count="1" selected="0">
            <x v="16"/>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7923218-4B38-43B9-851C-E6DB8F39A04B}"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E4:F7" firstHeaderRow="1" firstDataRow="1" firstDataCol="1"/>
  <pivotFields count="12">
    <pivotField showAll="0"/>
    <pivotField axis="axisRow" showAll="0" measureFilter="1">
      <items count="21">
        <item x="4"/>
        <item x="2"/>
        <item x="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3">
    <i>
      <x v="2"/>
    </i>
    <i>
      <x v="6"/>
    </i>
    <i>
      <x v="14"/>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8D8096-2D40-4E00-90FF-22792AB6D344}" sourceName="Region">
  <pivotTables>
    <pivotTable tabId="2" name="PivotTable1"/>
    <pivotTable tabId="2" name="PivotTable2"/>
  </pivotTables>
  <data>
    <tabular pivotCacheId="1146610879">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46EBCF-0E34-4E45-9AD9-E3C5F23C695B}" cache="Slicer_Region" columnCount="8"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E713-D875-4082-977F-4E413306354D}">
  <sheetPr codeName="Sheet1"/>
  <dimension ref="A1:L21"/>
  <sheetViews>
    <sheetView workbookViewId="0">
      <selection activeCell="N8" sqref="N8"/>
    </sheetView>
  </sheetViews>
  <sheetFormatPr defaultRowHeight="14.4" x14ac:dyDescent="0.3"/>
  <cols>
    <col min="1" max="1" width="17.6640625" customWidth="1"/>
    <col min="2" max="2" width="14.33203125" bestFit="1" customWidth="1"/>
    <col min="3" max="3" width="7.6640625" bestFit="1" customWidth="1"/>
    <col min="4" max="8" width="5" bestFit="1" customWidth="1"/>
    <col min="9" max="9" width="9.33203125" bestFit="1" customWidth="1"/>
    <col min="10" max="10" width="6" bestFit="1" customWidth="1"/>
    <col min="12" max="12" width="10.5546875" bestFit="1" customWidth="1"/>
  </cols>
  <sheetData>
    <row r="1" spans="1:12" ht="13.8" customHeight="1" thickBot="1" x14ac:dyDescent="0.35">
      <c r="A1" s="1" t="s">
        <v>4</v>
      </c>
      <c r="B1" s="2" t="s">
        <v>5</v>
      </c>
      <c r="C1" s="2" t="s">
        <v>0</v>
      </c>
      <c r="D1" s="2" t="s">
        <v>6</v>
      </c>
      <c r="E1" s="2" t="s">
        <v>7</v>
      </c>
      <c r="F1" s="2" t="s">
        <v>8</v>
      </c>
      <c r="G1" s="2" t="s">
        <v>9</v>
      </c>
      <c r="H1" s="2" t="s">
        <v>10</v>
      </c>
      <c r="I1" s="2" t="s">
        <v>11</v>
      </c>
      <c r="J1" s="9" t="s">
        <v>12</v>
      </c>
      <c r="K1" s="16" t="s">
        <v>58</v>
      </c>
      <c r="L1" s="16" t="s">
        <v>59</v>
      </c>
    </row>
    <row r="2" spans="1:12" ht="13.8" customHeight="1" thickBot="1" x14ac:dyDescent="0.35">
      <c r="A2" s="3" t="s">
        <v>13</v>
      </c>
      <c r="B2" s="4" t="s">
        <v>14</v>
      </c>
      <c r="C2" s="4" t="s">
        <v>2</v>
      </c>
      <c r="D2" s="5">
        <v>49</v>
      </c>
      <c r="E2" s="5">
        <v>84</v>
      </c>
      <c r="F2" s="5">
        <v>98</v>
      </c>
      <c r="G2" s="5">
        <v>67</v>
      </c>
      <c r="H2" s="5">
        <v>41</v>
      </c>
      <c r="I2" s="5">
        <v>339</v>
      </c>
      <c r="J2" s="11">
        <v>500</v>
      </c>
      <c r="K2" s="19">
        <f>I2/J2</f>
        <v>0.67800000000000005</v>
      </c>
      <c r="L2" s="20">
        <f>100%-K2</f>
        <v>0.32199999999999995</v>
      </c>
    </row>
    <row r="3" spans="1:12" ht="13.8" customHeight="1" thickBot="1" x14ac:dyDescent="0.35">
      <c r="A3" s="3" t="s">
        <v>15</v>
      </c>
      <c r="B3" s="4" t="s">
        <v>16</v>
      </c>
      <c r="C3" s="4" t="s">
        <v>1</v>
      </c>
      <c r="D3" s="5">
        <v>44</v>
      </c>
      <c r="E3" s="5">
        <v>85</v>
      </c>
      <c r="F3" s="5">
        <v>47</v>
      </c>
      <c r="G3" s="5">
        <v>15</v>
      </c>
      <c r="H3" s="5">
        <v>48</v>
      </c>
      <c r="I3" s="5">
        <v>239</v>
      </c>
      <c r="J3" s="11">
        <v>500</v>
      </c>
      <c r="K3" s="19">
        <f t="shared" ref="K3:K21" si="0">I3/J3</f>
        <v>0.47799999999999998</v>
      </c>
      <c r="L3" s="20">
        <f t="shared" ref="L3:L21" si="1">100%-K3</f>
        <v>0.52200000000000002</v>
      </c>
    </row>
    <row r="4" spans="1:12" ht="13.8" customHeight="1" thickBot="1" x14ac:dyDescent="0.35">
      <c r="A4" s="3" t="s">
        <v>17</v>
      </c>
      <c r="B4" s="4" t="s">
        <v>18</v>
      </c>
      <c r="C4" s="4" t="s">
        <v>19</v>
      </c>
      <c r="D4" s="5">
        <v>45</v>
      </c>
      <c r="E4" s="5">
        <v>79</v>
      </c>
      <c r="F4" s="5">
        <v>88</v>
      </c>
      <c r="G4" s="5">
        <v>73</v>
      </c>
      <c r="H4" s="5">
        <v>94</v>
      </c>
      <c r="I4" s="5">
        <v>379</v>
      </c>
      <c r="J4" s="11">
        <v>500</v>
      </c>
      <c r="K4" s="17">
        <f t="shared" si="0"/>
        <v>0.75800000000000001</v>
      </c>
      <c r="L4" s="18">
        <f t="shared" si="1"/>
        <v>0.24199999999999999</v>
      </c>
    </row>
    <row r="5" spans="1:12" ht="13.8" customHeight="1" thickBot="1" x14ac:dyDescent="0.35">
      <c r="A5" s="3" t="s">
        <v>20</v>
      </c>
      <c r="B5" s="4" t="s">
        <v>21</v>
      </c>
      <c r="C5" s="4" t="s">
        <v>3</v>
      </c>
      <c r="D5" s="5">
        <v>52</v>
      </c>
      <c r="E5" s="5">
        <v>99</v>
      </c>
      <c r="F5" s="5">
        <v>13</v>
      </c>
      <c r="G5" s="5">
        <v>95</v>
      </c>
      <c r="H5" s="5">
        <v>29</v>
      </c>
      <c r="I5" s="5">
        <v>288</v>
      </c>
      <c r="J5" s="5">
        <v>500</v>
      </c>
      <c r="K5" s="10">
        <f t="shared" si="0"/>
        <v>0.57599999999999996</v>
      </c>
      <c r="L5" s="10">
        <f t="shared" si="1"/>
        <v>0.42400000000000004</v>
      </c>
    </row>
    <row r="6" spans="1:12" ht="13.8" customHeight="1" thickBot="1" x14ac:dyDescent="0.35">
      <c r="A6" s="3" t="s">
        <v>22</v>
      </c>
      <c r="B6" s="4" t="s">
        <v>23</v>
      </c>
      <c r="C6" s="4" t="s">
        <v>24</v>
      </c>
      <c r="D6" s="5">
        <v>35</v>
      </c>
      <c r="E6" s="5">
        <v>54</v>
      </c>
      <c r="F6" s="5">
        <v>49</v>
      </c>
      <c r="G6" s="5">
        <v>26</v>
      </c>
      <c r="H6" s="5">
        <v>49</v>
      </c>
      <c r="I6" s="5">
        <v>213</v>
      </c>
      <c r="J6" s="5">
        <v>500</v>
      </c>
      <c r="K6" s="8">
        <f t="shared" si="0"/>
        <v>0.42599999999999999</v>
      </c>
      <c r="L6" s="8">
        <f t="shared" si="1"/>
        <v>0.57400000000000007</v>
      </c>
    </row>
    <row r="7" spans="1:12" ht="13.8" customHeight="1" thickBot="1" x14ac:dyDescent="0.35">
      <c r="A7" s="3" t="s">
        <v>25</v>
      </c>
      <c r="B7" s="4" t="s">
        <v>26</v>
      </c>
      <c r="C7" s="4" t="s">
        <v>27</v>
      </c>
      <c r="D7" s="5">
        <v>86</v>
      </c>
      <c r="E7" s="5">
        <v>31</v>
      </c>
      <c r="F7" s="5">
        <v>23</v>
      </c>
      <c r="G7" s="5">
        <v>48</v>
      </c>
      <c r="H7" s="5">
        <v>77</v>
      </c>
      <c r="I7" s="5">
        <v>265</v>
      </c>
      <c r="J7" s="5">
        <v>500</v>
      </c>
      <c r="K7" s="8">
        <f t="shared" si="0"/>
        <v>0.53</v>
      </c>
      <c r="L7" s="8">
        <f t="shared" si="1"/>
        <v>0.47</v>
      </c>
    </row>
    <row r="8" spans="1:12" ht="13.8" customHeight="1" thickBot="1" x14ac:dyDescent="0.35">
      <c r="A8" s="3" t="s">
        <v>28</v>
      </c>
      <c r="B8" s="4" t="s">
        <v>29</v>
      </c>
      <c r="C8" s="4" t="s">
        <v>30</v>
      </c>
      <c r="D8" s="5">
        <v>84</v>
      </c>
      <c r="E8" s="5">
        <v>28</v>
      </c>
      <c r="F8" s="5">
        <v>98</v>
      </c>
      <c r="G8" s="5">
        <v>80</v>
      </c>
      <c r="H8" s="5">
        <v>79</v>
      </c>
      <c r="I8" s="5">
        <v>369</v>
      </c>
      <c r="J8" s="5">
        <v>500</v>
      </c>
      <c r="K8" s="8">
        <f t="shared" si="0"/>
        <v>0.73799999999999999</v>
      </c>
      <c r="L8" s="8">
        <f t="shared" si="1"/>
        <v>0.26200000000000001</v>
      </c>
    </row>
    <row r="9" spans="1:12" ht="13.8" customHeight="1" thickBot="1" x14ac:dyDescent="0.35">
      <c r="A9" s="3" t="s">
        <v>31</v>
      </c>
      <c r="B9" s="4" t="s">
        <v>32</v>
      </c>
      <c r="C9" s="4" t="s">
        <v>33</v>
      </c>
      <c r="D9" s="5">
        <v>73</v>
      </c>
      <c r="E9" s="5">
        <v>97</v>
      </c>
      <c r="F9" s="5">
        <v>38</v>
      </c>
      <c r="G9" s="5">
        <v>24</v>
      </c>
      <c r="H9" s="5">
        <v>53</v>
      </c>
      <c r="I9" s="5">
        <v>285</v>
      </c>
      <c r="J9" s="5">
        <v>500</v>
      </c>
      <c r="K9" s="8">
        <f t="shared" si="0"/>
        <v>0.56999999999999995</v>
      </c>
      <c r="L9" s="8">
        <f t="shared" si="1"/>
        <v>0.43000000000000005</v>
      </c>
    </row>
    <row r="10" spans="1:12" ht="13.8" customHeight="1" thickBot="1" x14ac:dyDescent="0.35">
      <c r="A10" s="3" t="s">
        <v>34</v>
      </c>
      <c r="B10" s="4" t="s">
        <v>35</v>
      </c>
      <c r="C10" s="4" t="s">
        <v>2</v>
      </c>
      <c r="D10" s="5">
        <v>54</v>
      </c>
      <c r="E10" s="5">
        <v>26</v>
      </c>
      <c r="F10" s="5">
        <v>53</v>
      </c>
      <c r="G10" s="5">
        <v>36</v>
      </c>
      <c r="H10" s="5">
        <v>20</v>
      </c>
      <c r="I10" s="5">
        <v>189</v>
      </c>
      <c r="J10" s="5">
        <v>500</v>
      </c>
      <c r="K10" s="8">
        <f t="shared" si="0"/>
        <v>0.378</v>
      </c>
      <c r="L10" s="8">
        <f t="shared" si="1"/>
        <v>0.622</v>
      </c>
    </row>
    <row r="11" spans="1:12" ht="13.8" customHeight="1" thickBot="1" x14ac:dyDescent="0.35">
      <c r="A11" s="3" t="s">
        <v>36</v>
      </c>
      <c r="B11" s="4" t="s">
        <v>37</v>
      </c>
      <c r="C11" s="4" t="s">
        <v>1</v>
      </c>
      <c r="D11" s="5">
        <v>52</v>
      </c>
      <c r="E11" s="5">
        <v>52</v>
      </c>
      <c r="F11" s="5">
        <v>19</v>
      </c>
      <c r="G11" s="5">
        <v>53</v>
      </c>
      <c r="H11" s="5">
        <v>37</v>
      </c>
      <c r="I11" s="5">
        <v>213</v>
      </c>
      <c r="J11" s="5">
        <v>500</v>
      </c>
      <c r="K11" s="8">
        <f t="shared" si="0"/>
        <v>0.42599999999999999</v>
      </c>
      <c r="L11" s="8">
        <f t="shared" si="1"/>
        <v>0.57400000000000007</v>
      </c>
    </row>
    <row r="12" spans="1:12" ht="13.8" customHeight="1" thickBot="1" x14ac:dyDescent="0.35">
      <c r="A12" s="3" t="s">
        <v>38</v>
      </c>
      <c r="B12" s="4" t="s">
        <v>39</v>
      </c>
      <c r="C12" s="4" t="s">
        <v>19</v>
      </c>
      <c r="D12" s="5">
        <v>63</v>
      </c>
      <c r="E12" s="5">
        <v>17</v>
      </c>
      <c r="F12" s="5">
        <v>40</v>
      </c>
      <c r="G12" s="5">
        <v>48</v>
      </c>
      <c r="H12" s="5">
        <v>51</v>
      </c>
      <c r="I12" s="5">
        <v>219</v>
      </c>
      <c r="J12" s="5">
        <v>500</v>
      </c>
      <c r="K12" s="8">
        <f t="shared" si="0"/>
        <v>0.438</v>
      </c>
      <c r="L12" s="8">
        <f t="shared" si="1"/>
        <v>0.56200000000000006</v>
      </c>
    </row>
    <row r="13" spans="1:12" ht="13.8" customHeight="1" thickBot="1" x14ac:dyDescent="0.35">
      <c r="A13" s="3" t="s">
        <v>40</v>
      </c>
      <c r="B13" s="4" t="s">
        <v>41</v>
      </c>
      <c r="C13" s="4" t="s">
        <v>3</v>
      </c>
      <c r="D13" s="5">
        <v>79</v>
      </c>
      <c r="E13" s="5">
        <v>99</v>
      </c>
      <c r="F13" s="5">
        <v>95</v>
      </c>
      <c r="G13" s="5">
        <v>12</v>
      </c>
      <c r="H13" s="5">
        <v>91</v>
      </c>
      <c r="I13" s="5">
        <v>376</v>
      </c>
      <c r="J13" s="5">
        <v>500</v>
      </c>
      <c r="K13" s="8">
        <f t="shared" si="0"/>
        <v>0.752</v>
      </c>
      <c r="L13" s="8">
        <f t="shared" si="1"/>
        <v>0.248</v>
      </c>
    </row>
    <row r="14" spans="1:12" ht="13.8" customHeight="1" thickBot="1" x14ac:dyDescent="0.35">
      <c r="A14" s="3" t="s">
        <v>42</v>
      </c>
      <c r="B14" s="4" t="s">
        <v>43</v>
      </c>
      <c r="C14" s="4" t="s">
        <v>24</v>
      </c>
      <c r="D14" s="6">
        <v>95</v>
      </c>
      <c r="E14" s="5">
        <v>88</v>
      </c>
      <c r="F14" s="5">
        <v>11</v>
      </c>
      <c r="G14" s="5">
        <v>78</v>
      </c>
      <c r="H14" s="5">
        <v>60</v>
      </c>
      <c r="I14" s="5">
        <v>332</v>
      </c>
      <c r="J14" s="5">
        <v>500</v>
      </c>
      <c r="K14" s="8">
        <f t="shared" si="0"/>
        <v>0.66400000000000003</v>
      </c>
      <c r="L14" s="8">
        <f t="shared" si="1"/>
        <v>0.33599999999999997</v>
      </c>
    </row>
    <row r="15" spans="1:12" ht="13.8" customHeight="1" thickBot="1" x14ac:dyDescent="0.35">
      <c r="A15" s="3" t="s">
        <v>44</v>
      </c>
      <c r="B15" s="4" t="s">
        <v>45</v>
      </c>
      <c r="C15" s="4" t="s">
        <v>27</v>
      </c>
      <c r="D15" s="5">
        <v>83</v>
      </c>
      <c r="E15" s="5">
        <v>77</v>
      </c>
      <c r="F15" s="5">
        <v>66</v>
      </c>
      <c r="G15" s="5">
        <v>22</v>
      </c>
      <c r="H15" s="5">
        <v>40</v>
      </c>
      <c r="I15" s="5">
        <v>288</v>
      </c>
      <c r="J15" s="5">
        <v>500</v>
      </c>
      <c r="K15" s="8">
        <f t="shared" si="0"/>
        <v>0.57599999999999996</v>
      </c>
      <c r="L15" s="8">
        <f t="shared" si="1"/>
        <v>0.42400000000000004</v>
      </c>
    </row>
    <row r="16" spans="1:12" ht="13.8" customHeight="1" thickBot="1" x14ac:dyDescent="0.35">
      <c r="A16" s="3" t="s">
        <v>46</v>
      </c>
      <c r="B16" s="4" t="s">
        <v>47</v>
      </c>
      <c r="C16" s="4" t="s">
        <v>30</v>
      </c>
      <c r="D16" s="5">
        <v>78</v>
      </c>
      <c r="E16" s="5">
        <v>58</v>
      </c>
      <c r="F16" s="5">
        <v>34</v>
      </c>
      <c r="G16" s="5">
        <v>84</v>
      </c>
      <c r="H16" s="5">
        <v>31</v>
      </c>
      <c r="I16" s="5">
        <v>285</v>
      </c>
      <c r="J16" s="5">
        <v>500</v>
      </c>
      <c r="K16" s="8">
        <f t="shared" si="0"/>
        <v>0.56999999999999995</v>
      </c>
      <c r="L16" s="8">
        <f t="shared" si="1"/>
        <v>0.43000000000000005</v>
      </c>
    </row>
    <row r="17" spans="1:12" ht="13.8" customHeight="1" thickBot="1" x14ac:dyDescent="0.35">
      <c r="A17" s="3" t="s">
        <v>48</v>
      </c>
      <c r="B17" s="4" t="s">
        <v>49</v>
      </c>
      <c r="C17" s="4" t="s">
        <v>33</v>
      </c>
      <c r="D17" s="5">
        <v>14</v>
      </c>
      <c r="E17" s="5">
        <v>25</v>
      </c>
      <c r="F17" s="5">
        <v>45</v>
      </c>
      <c r="G17" s="5">
        <v>70</v>
      </c>
      <c r="H17" s="5">
        <v>45</v>
      </c>
      <c r="I17" s="5">
        <v>199</v>
      </c>
      <c r="J17" s="5">
        <v>500</v>
      </c>
      <c r="K17" s="8">
        <f t="shared" si="0"/>
        <v>0.39800000000000002</v>
      </c>
      <c r="L17" s="8">
        <f t="shared" si="1"/>
        <v>0.60199999999999998</v>
      </c>
    </row>
    <row r="18" spans="1:12" ht="13.8" customHeight="1" thickBot="1" x14ac:dyDescent="0.35">
      <c r="A18" s="3" t="s">
        <v>50</v>
      </c>
      <c r="B18" s="4" t="s">
        <v>51</v>
      </c>
      <c r="C18" s="4" t="s">
        <v>2</v>
      </c>
      <c r="D18" s="5">
        <v>37</v>
      </c>
      <c r="E18" s="5">
        <v>69</v>
      </c>
      <c r="F18" s="5">
        <v>96</v>
      </c>
      <c r="G18" s="5">
        <v>66</v>
      </c>
      <c r="H18" s="5">
        <v>38</v>
      </c>
      <c r="I18" s="5">
        <v>306</v>
      </c>
      <c r="J18" s="5">
        <v>500</v>
      </c>
      <c r="K18" s="8">
        <f t="shared" si="0"/>
        <v>0.61199999999999999</v>
      </c>
      <c r="L18" s="8">
        <f t="shared" si="1"/>
        <v>0.38800000000000001</v>
      </c>
    </row>
    <row r="19" spans="1:12" ht="13.8" customHeight="1" thickBot="1" x14ac:dyDescent="0.35">
      <c r="A19" s="3" t="s">
        <v>52</v>
      </c>
      <c r="B19" s="4" t="s">
        <v>53</v>
      </c>
      <c r="C19" s="4" t="s">
        <v>1</v>
      </c>
      <c r="D19" s="5">
        <v>11</v>
      </c>
      <c r="E19" s="5">
        <v>46</v>
      </c>
      <c r="F19" s="5">
        <v>91</v>
      </c>
      <c r="G19" s="5">
        <v>98</v>
      </c>
      <c r="H19" s="5">
        <v>45</v>
      </c>
      <c r="I19" s="5">
        <v>291</v>
      </c>
      <c r="J19" s="5">
        <v>500</v>
      </c>
      <c r="K19" s="8">
        <f t="shared" si="0"/>
        <v>0.58199999999999996</v>
      </c>
      <c r="L19" s="8">
        <f t="shared" si="1"/>
        <v>0.41800000000000004</v>
      </c>
    </row>
    <row r="20" spans="1:12" ht="13.8" customHeight="1" thickBot="1" x14ac:dyDescent="0.35">
      <c r="A20" s="3" t="s">
        <v>54</v>
      </c>
      <c r="B20" s="4" t="s">
        <v>55</v>
      </c>
      <c r="C20" s="4" t="s">
        <v>19</v>
      </c>
      <c r="D20" s="5">
        <v>19</v>
      </c>
      <c r="E20" s="5">
        <v>34</v>
      </c>
      <c r="F20" s="5">
        <v>64</v>
      </c>
      <c r="G20" s="5">
        <v>65</v>
      </c>
      <c r="H20" s="5">
        <v>70</v>
      </c>
      <c r="I20" s="5">
        <v>252</v>
      </c>
      <c r="J20" s="5">
        <v>500</v>
      </c>
      <c r="K20" s="8">
        <f t="shared" si="0"/>
        <v>0.504</v>
      </c>
      <c r="L20" s="8">
        <f t="shared" si="1"/>
        <v>0.496</v>
      </c>
    </row>
    <row r="21" spans="1:12" ht="13.8" customHeight="1" thickBot="1" x14ac:dyDescent="0.35">
      <c r="A21" s="3" t="s">
        <v>56</v>
      </c>
      <c r="B21" s="4" t="s">
        <v>57</v>
      </c>
      <c r="C21" s="4" t="s">
        <v>3</v>
      </c>
      <c r="D21" s="5">
        <v>93</v>
      </c>
      <c r="E21" s="5">
        <v>84</v>
      </c>
      <c r="F21" s="5">
        <v>13</v>
      </c>
      <c r="G21" s="5">
        <v>45</v>
      </c>
      <c r="H21" s="5">
        <v>18</v>
      </c>
      <c r="I21" s="5">
        <v>253</v>
      </c>
      <c r="J21" s="5">
        <v>500</v>
      </c>
      <c r="K21" s="8">
        <f t="shared" si="0"/>
        <v>0.50600000000000001</v>
      </c>
      <c r="L21" s="8">
        <f t="shared" si="1"/>
        <v>0.49399999999999999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49A1-FDC2-4E2F-83AA-094287C294B2}">
  <sheetPr codeName="Sheet2"/>
  <dimension ref="A1:N9"/>
  <sheetViews>
    <sheetView tabSelected="1" workbookViewId="0">
      <selection activeCell="C7" sqref="C7"/>
    </sheetView>
  </sheetViews>
  <sheetFormatPr defaultRowHeight="14.4" x14ac:dyDescent="0.3"/>
  <cols>
    <col min="1" max="1" width="19.44140625" style="14" bestFit="1" customWidth="1"/>
    <col min="2" max="2" width="23.44140625" style="14" customWidth="1"/>
    <col min="3" max="3" width="3.6640625" style="14" customWidth="1"/>
    <col min="4" max="4" width="3" style="14" customWidth="1"/>
    <col min="5" max="5" width="20.88671875" style="14" customWidth="1"/>
    <col min="6" max="6" width="19" style="14" customWidth="1"/>
    <col min="7" max="7" width="5" style="14" customWidth="1"/>
    <col min="8" max="8" width="0.6640625" style="14" customWidth="1"/>
    <col min="9" max="9" width="15.5546875" style="14" bestFit="1" customWidth="1"/>
    <col min="10" max="10" width="23.33203125" style="14" customWidth="1"/>
    <col min="11" max="11" width="5.109375" style="14" customWidth="1"/>
    <col min="12" max="12" width="3.21875" style="14" customWidth="1"/>
    <col min="13" max="13" width="18.109375" style="14" bestFit="1" customWidth="1"/>
    <col min="14" max="14" width="22.88671875" style="14" customWidth="1"/>
    <col min="15" max="16384" width="8.88671875" style="14"/>
  </cols>
  <sheetData>
    <row r="1" spans="1:14" ht="44.4" customHeight="1" x14ac:dyDescent="0.3">
      <c r="A1" s="14" t="b">
        <v>1</v>
      </c>
      <c r="E1" s="14" t="b">
        <v>1</v>
      </c>
      <c r="I1" s="14" t="b">
        <v>0</v>
      </c>
      <c r="M1" s="14" t="b">
        <v>0</v>
      </c>
    </row>
    <row r="3" spans="1:14" ht="55.8" customHeight="1" x14ac:dyDescent="0.3"/>
    <row r="4" spans="1:14" x14ac:dyDescent="0.3">
      <c r="A4" s="12" t="s">
        <v>65</v>
      </c>
      <c r="B4" t="s">
        <v>60</v>
      </c>
      <c r="E4" s="12" t="s">
        <v>61</v>
      </c>
      <c r="F4" t="s">
        <v>62</v>
      </c>
      <c r="I4" s="12" t="s">
        <v>61</v>
      </c>
      <c r="J4" t="s">
        <v>63</v>
      </c>
      <c r="M4" s="12" t="s">
        <v>61</v>
      </c>
      <c r="N4" t="s">
        <v>64</v>
      </c>
    </row>
    <row r="5" spans="1:14" x14ac:dyDescent="0.3">
      <c r="A5" s="13" t="s">
        <v>14</v>
      </c>
      <c r="B5" s="21">
        <v>339</v>
      </c>
      <c r="E5" s="13" t="s">
        <v>14</v>
      </c>
      <c r="F5" s="21">
        <v>339</v>
      </c>
      <c r="I5" s="13" t="s">
        <v>18</v>
      </c>
      <c r="J5" s="7">
        <v>0.75800000000000001</v>
      </c>
      <c r="K5" s="15"/>
      <c r="M5" s="13" t="s">
        <v>23</v>
      </c>
      <c r="N5" s="7">
        <v>0.57400000000000007</v>
      </c>
    </row>
    <row r="6" spans="1:14" x14ac:dyDescent="0.3">
      <c r="A6" s="13" t="s">
        <v>51</v>
      </c>
      <c r="B6" s="21">
        <v>306</v>
      </c>
      <c r="E6" s="13" t="s">
        <v>51</v>
      </c>
      <c r="F6" s="21">
        <v>306</v>
      </c>
      <c r="I6" s="13" t="s">
        <v>14</v>
      </c>
      <c r="J6" s="7">
        <v>0.67800000000000005</v>
      </c>
      <c r="K6" s="15"/>
      <c r="M6" s="13" t="s">
        <v>49</v>
      </c>
      <c r="N6" s="7">
        <v>0.60199999999999998</v>
      </c>
    </row>
    <row r="7" spans="1:14" x14ac:dyDescent="0.3">
      <c r="A7" s="13" t="s">
        <v>35</v>
      </c>
      <c r="B7" s="21">
        <v>189</v>
      </c>
      <c r="E7" s="13" t="s">
        <v>35</v>
      </c>
      <c r="F7" s="21">
        <v>189</v>
      </c>
      <c r="I7" s="13" t="s">
        <v>43</v>
      </c>
      <c r="J7" s="7">
        <v>0.66400000000000003</v>
      </c>
      <c r="K7" s="15"/>
      <c r="M7" s="13" t="s">
        <v>39</v>
      </c>
      <c r="N7" s="7">
        <v>0.56200000000000006</v>
      </c>
    </row>
    <row r="8" spans="1:14" x14ac:dyDescent="0.3">
      <c r="A8"/>
      <c r="B8"/>
      <c r="E8"/>
      <c r="F8"/>
      <c r="I8" s="13" t="s">
        <v>41</v>
      </c>
      <c r="J8" s="7">
        <v>0.752</v>
      </c>
      <c r="K8" s="15"/>
      <c r="M8" s="13" t="s">
        <v>37</v>
      </c>
      <c r="N8" s="7">
        <v>0.57400000000000007</v>
      </c>
    </row>
    <row r="9" spans="1:14" x14ac:dyDescent="0.3">
      <c r="A9"/>
      <c r="B9"/>
      <c r="E9"/>
      <c r="F9"/>
      <c r="I9" s="13" t="s">
        <v>29</v>
      </c>
      <c r="J9" s="7">
        <v>0.73799999999999999</v>
      </c>
      <c r="K9" s="15"/>
      <c r="M9" s="13" t="s">
        <v>35</v>
      </c>
      <c r="N9" s="7">
        <v>0.622</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883920</xdr:colOff>
                    <xdr:row>2</xdr:row>
                    <xdr:rowOff>175260</xdr:rowOff>
                  </from>
                  <to>
                    <xdr:col>1</xdr:col>
                    <xdr:colOff>617220</xdr:colOff>
                    <xdr:row>2</xdr:row>
                    <xdr:rowOff>396240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4</xdr:col>
                    <xdr:colOff>845820</xdr:colOff>
                    <xdr:row>2</xdr:row>
                    <xdr:rowOff>160020</xdr:rowOff>
                  </from>
                  <to>
                    <xdr:col>5</xdr:col>
                    <xdr:colOff>480060</xdr:colOff>
                    <xdr:row>2</xdr:row>
                    <xdr:rowOff>381000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8</xdr:col>
                    <xdr:colOff>754380</xdr:colOff>
                    <xdr:row>2</xdr:row>
                    <xdr:rowOff>167640</xdr:rowOff>
                  </from>
                  <to>
                    <xdr:col>9</xdr:col>
                    <xdr:colOff>754380</xdr:colOff>
                    <xdr:row>2</xdr:row>
                    <xdr:rowOff>388620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12</xdr:col>
                    <xdr:colOff>876300</xdr:colOff>
                    <xdr:row>2</xdr:row>
                    <xdr:rowOff>144780</xdr:rowOff>
                  </from>
                  <to>
                    <xdr:col>13</xdr:col>
                    <xdr:colOff>701040</xdr:colOff>
                    <xdr:row>2</xdr:row>
                    <xdr:rowOff>365760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smriti kansal</dc:creator>
  <cp:lastModifiedBy>smriti kansal</cp:lastModifiedBy>
  <dcterms:created xsi:type="dcterms:W3CDTF">2026-05-18T12:00:21Z</dcterms:created>
  <dcterms:modified xsi:type="dcterms:W3CDTF">2026-06-09T07:14:26Z</dcterms:modified>
</cp:coreProperties>
</file>